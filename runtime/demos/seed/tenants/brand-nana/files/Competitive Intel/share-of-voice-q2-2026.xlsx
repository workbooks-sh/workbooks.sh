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 by brand" sheetId="1" state="visible" r:id="rId1"/>
    <sheet xmlns:r="http://schemas.openxmlformats.org/officeDocument/2006/relationships" name="Sentiment" sheetId="2" state="visible" r:id="rId2"/>
    <sheet xmlns:r="http://schemas.openxmlformats.org/officeDocument/2006/relationships" name="Mentions by source" sheetId="3" state="visible" r:id="rId3"/>
    <sheet xmlns:r="http://schemas.openxmlformats.org/officeDocument/2006/relationships" name="Movers log" sheetId="4" state="visible" r:id="rId4"/>
    <sheet xmlns:r="http://schemas.openxmlformats.org/officeDocument/2006/relationships" name="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8">
    <font>
      <name val="Calibri"/>
      <family val="2"/>
      <color theme="1"/>
      <sz val="11"/>
      <scheme val="minor"/>
    </font>
    <font>
      <name val="Calibri"/>
      <b val="1"/>
      <color rgb="001A1714"/>
      <sz val="14"/>
    </font>
    <font>
      <name val="Calibri"/>
      <i val="1"/>
      <color rgb="006B5F4E"/>
      <sz val="10"/>
    </font>
    <font>
      <name val="Calibri"/>
      <b val="1"/>
      <color rgb="00F4EEE2"/>
      <sz val="11"/>
    </font>
    <font>
      <b val="1"/>
      <color rgb="001A1714"/>
    </font>
    <font>
      <name val="Calibri"/>
      <b val="1"/>
      <color rgb="001A1714"/>
    </font>
    <font>
      <b val="1"/>
      <color rgb="005B6E4F"/>
    </font>
    <font>
      <color rgb="002B2620"/>
    </font>
  </fonts>
  <fills count="4">
    <fill>
      <patternFill/>
    </fill>
    <fill>
      <patternFill patternType="gray125"/>
    </fill>
    <fill>
      <patternFill patternType="solid">
        <fgColor rgb="001A1714"/>
      </patternFill>
    </fill>
    <fill>
      <patternFill patternType="solid">
        <fgColor rgb="00E7DECB"/>
      </patternFill>
    </fill>
  </fills>
  <borders count="2">
    <border>
      <left/>
      <right/>
      <top/>
      <bottom/>
      <diagonal/>
    </border>
    <border>
      <left style="thin">
        <color rgb="00D9CEB8"/>
      </left>
      <right style="thin">
        <color rgb="00D9CEB8"/>
      </right>
      <top style="thin">
        <color rgb="00D9CEB8"/>
      </top>
      <bottom style="thin">
        <color rgb="00D9CE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9" fontId="6" fillId="0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0" fillId="0" borderId="1" pivotButton="0" quotePrefix="0" xfId="0"/>
    <xf numFmtId="164" fontId="5" fillId="0" borderId="0" pivotButton="0" quotePrefix="0" xfId="0"/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mentions by brand</a:t>
            </a:r>
          </a:p>
        </rich>
      </tx>
    </title>
    <plotArea>
      <lineChart>
        <grouping val="standard"/>
        <ser>
          <idx val="0"/>
          <order val="0"/>
          <tx>
            <strRef>
              <f>'SOV by brand'!A4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brand'!$B$4:$M$4</f>
            </numRef>
          </val>
        </ser>
        <ser>
          <idx val="1"/>
          <order val="1"/>
          <tx>
            <strRef>
              <f>'SOV by brand'!A5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brand'!$B$5:$M$5</f>
            </numRef>
          </val>
        </ser>
        <ser>
          <idx val="2"/>
          <order val="2"/>
          <tx>
            <strRef>
              <f>'SOV by brand'!A6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brand'!$B$6:$M$6</f>
            </numRef>
          </val>
        </ser>
        <ser>
          <idx val="3"/>
          <order val="3"/>
          <tx>
            <strRef>
              <f>'SOV by brand'!A7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brand'!$B$7:$M$7</f>
            </numRef>
          </val>
        </ser>
        <ser>
          <idx val="4"/>
          <order val="4"/>
          <tx>
            <strRef>
              <f>'SOV by brand'!A8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brand'!$B$8:$M$8</f>
            </numRef>
          </val>
        </ser>
        <ser>
          <idx val="5"/>
          <order val="5"/>
          <tx>
            <strRef>
              <f>'SOV by brand'!A9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'SOV by brand'!$B$4:$M$4</f>
            </numRef>
          </cat>
          <val>
            <numRef>
              <f>'SOV by brand'!$B$9:$M$9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sentiment trend</a:t>
            </a:r>
          </a:p>
        </rich>
      </tx>
    </title>
    <plotArea>
      <lineChart>
        <grouping val="standard"/>
        <ser>
          <idx val="0"/>
          <order val="0"/>
          <tx>
            <strRef>
              <f>'Sentiment'!A4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'Sentiment'!$B$4:$M$4</f>
            </numRef>
          </val>
        </ser>
        <ser>
          <idx val="1"/>
          <order val="1"/>
          <tx>
            <strRef>
              <f>'Sentiment'!A5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'Sentiment'!$B$5:$M$5</f>
            </numRef>
          </val>
        </ser>
        <ser>
          <idx val="2"/>
          <order val="2"/>
          <tx>
            <strRef>
              <f>'Sentiment'!A6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'Sentiment'!$B$6:$M$6</f>
            </numRef>
          </val>
        </ser>
        <ser>
          <idx val="3"/>
          <order val="3"/>
          <tx>
            <strRef>
              <f>'Sentiment'!A7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'Sentiment'!$B$7:$M$7</f>
            </numRef>
          </val>
        </ser>
        <ser>
          <idx val="4"/>
          <order val="4"/>
          <tx>
            <strRef>
              <f>'Sentiment'!A8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'Sentiment'!$B$8:$M$8</f>
            </numRef>
          </val>
        </ser>
        <ser>
          <idx val="5"/>
          <order val="5"/>
          <tx>
            <strRef>
              <f>'Sentiment'!A9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'Sentiment'!$B$4:$M$4</f>
            </numRef>
          </cat>
          <val>
            <numRef>
              <f>'Sentiment'!$B$9:$M$9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75"/>
          <min val="0.3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Mentions by source (30d)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'Mentions by source'!B4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 by source'!$A$5:$A$9</f>
            </numRef>
          </cat>
          <val>
            <numRef>
              <f>'Mentions by source'!$B$5:$B$9</f>
            </numRef>
          </val>
        </ser>
        <ser>
          <idx val="1"/>
          <order val="1"/>
          <tx>
            <strRef>
              <f>'Mentions by source'!C4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 by source'!$A$5:$A$9</f>
            </numRef>
          </cat>
          <val>
            <numRef>
              <f>'Mentions by source'!$C$5:$C$9</f>
            </numRef>
          </val>
        </ser>
        <ser>
          <idx val="2"/>
          <order val="2"/>
          <tx>
            <strRef>
              <f>'Mentions by source'!D4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 by source'!$A$5:$A$9</f>
            </numRef>
          </cat>
          <val>
            <numRef>
              <f>'Mentions by source'!$D$5:$D$9</f>
            </numRef>
          </val>
        </ser>
        <ser>
          <idx val="3"/>
          <order val="3"/>
          <tx>
            <strRef>
              <f>'Mentions by source'!E4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 by source'!$A$5:$A$9</f>
            </numRef>
          </cat>
          <val>
            <numRef>
              <f>'Mentions by source'!$E$5:$E$9</f>
            </numRef>
          </val>
        </ser>
        <ser>
          <idx val="4"/>
          <order val="4"/>
          <tx>
            <strRef>
              <f>'Mentions by source'!F4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'Mentions by source'!$A$5:$A$9</f>
            </numRef>
          </cat>
          <val>
            <numRef>
              <f>'Mentions by source'!$F$5:$F$9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  <col width="8" customWidth="1" min="15" max="15"/>
  </cols>
  <sheetData>
    <row r="1">
      <c r="A1" s="1" t="inlineStr">
        <is>
          <t>Share of Voice — weekly mention counts</t>
        </is>
      </c>
    </row>
    <row r="2">
      <c r="A2" s="2" t="inlineStr">
        <is>
          <t>Brand Nana brand-health tracker · 2026-04-01 to 2026-06-13 · frozen 2026-06-14</t>
        </is>
      </c>
    </row>
    <row r="4">
      <c r="A4" s="3" t="inlineStr">
        <is>
          <t>Brand</t>
        </is>
      </c>
      <c r="B4" s="3" t="inlineStr">
        <is>
          <t>W14</t>
        </is>
      </c>
      <c r="C4" s="3" t="inlineStr">
        <is>
          <t>W15</t>
        </is>
      </c>
      <c r="D4" s="3" t="inlineStr">
        <is>
          <t>W16</t>
        </is>
      </c>
      <c r="E4" s="3" t="inlineStr">
        <is>
          <t>W17</t>
        </is>
      </c>
      <c r="F4" s="3" t="inlineStr">
        <is>
          <t>W18</t>
        </is>
      </c>
      <c r="G4" s="3" t="inlineStr">
        <is>
          <t>W19</t>
        </is>
      </c>
      <c r="H4" s="3" t="inlineStr">
        <is>
          <t>W20</t>
        </is>
      </c>
      <c r="I4" s="3" t="inlineStr">
        <is>
          <t>W21</t>
        </is>
      </c>
      <c r="J4" s="3" t="inlineStr">
        <is>
          <t>W22</t>
        </is>
      </c>
      <c r="K4" s="3" t="inlineStr">
        <is>
          <t>W23</t>
        </is>
      </c>
      <c r="L4" s="3" t="inlineStr">
        <is>
          <t>W24</t>
        </is>
      </c>
      <c r="M4" s="3" t="inlineStr">
        <is>
          <t>W25</t>
        </is>
      </c>
      <c r="N4" s="3" t="inlineStr">
        <is>
          <t>Total</t>
        </is>
      </c>
      <c r="O4" s="3" t="inlineStr">
        <is>
          <t>SoV %</t>
        </is>
      </c>
    </row>
    <row r="5">
      <c r="A5" s="4" t="inlineStr">
        <is>
          <t>Tecovas</t>
        </is>
      </c>
      <c r="B5" s="5" t="n">
        <v>1050</v>
      </c>
      <c r="C5" s="5" t="n">
        <v>1080</v>
      </c>
      <c r="D5" s="5" t="n">
        <v>1110</v>
      </c>
      <c r="E5" s="5" t="n">
        <v>1095</v>
      </c>
      <c r="F5" s="5" t="n">
        <v>1140</v>
      </c>
      <c r="G5" s="5" t="n">
        <v>1180</v>
      </c>
      <c r="H5" s="5" t="n">
        <v>1210</v>
      </c>
      <c r="I5" s="5" t="n">
        <v>1240</v>
      </c>
      <c r="J5" s="5" t="n">
        <v>1290</v>
      </c>
      <c r="K5" s="5" t="n">
        <v>1330</v>
      </c>
      <c r="L5" s="5" t="n">
        <v>1360</v>
      </c>
      <c r="M5" s="5" t="n">
        <v>1395</v>
      </c>
      <c r="N5" s="6">
        <f>SUM(B5:M5)</f>
        <v/>
      </c>
      <c r="O5" s="7">
        <f>N5/$N$10</f>
        <v/>
      </c>
    </row>
    <row r="6">
      <c r="A6" s="4" t="inlineStr">
        <is>
          <t>Ariat</t>
        </is>
      </c>
      <c r="B6" s="5" t="n">
        <v>1180</v>
      </c>
      <c r="C6" s="5" t="n">
        <v>1210</v>
      </c>
      <c r="D6" s="5" t="n">
        <v>1190</v>
      </c>
      <c r="E6" s="5" t="n">
        <v>1230</v>
      </c>
      <c r="F6" s="5" t="n">
        <v>1260</v>
      </c>
      <c r="G6" s="5" t="n">
        <v>1290</v>
      </c>
      <c r="H6" s="5" t="n">
        <v>1320</v>
      </c>
      <c r="I6" s="5" t="n">
        <v>1310</v>
      </c>
      <c r="J6" s="5" t="n">
        <v>1360</v>
      </c>
      <c r="K6" s="5" t="n">
        <v>1390</v>
      </c>
      <c r="L6" s="5" t="n">
        <v>1420</v>
      </c>
      <c r="M6" s="5" t="n">
        <v>1460</v>
      </c>
      <c r="N6" s="6">
        <f>SUM(B6:M6)</f>
        <v/>
      </c>
      <c r="O6" s="7">
        <f>N6/$N$10</f>
        <v/>
      </c>
    </row>
    <row r="7">
      <c r="A7" s="4" t="inlineStr">
        <is>
          <t>Lucchese</t>
        </is>
      </c>
      <c r="B7" s="5" t="n">
        <v>470</v>
      </c>
      <c r="C7" s="5" t="n">
        <v>480</v>
      </c>
      <c r="D7" s="5" t="n">
        <v>460</v>
      </c>
      <c r="E7" s="5" t="n">
        <v>490</v>
      </c>
      <c r="F7" s="5" t="n">
        <v>510</v>
      </c>
      <c r="G7" s="5" t="n">
        <v>520</v>
      </c>
      <c r="H7" s="5" t="n">
        <v>540</v>
      </c>
      <c r="I7" s="5" t="n">
        <v>555</v>
      </c>
      <c r="J7" s="5" t="n">
        <v>560</v>
      </c>
      <c r="K7" s="5" t="n">
        <v>580</v>
      </c>
      <c r="L7" s="5" t="n">
        <v>595</v>
      </c>
      <c r="M7" s="5" t="n">
        <v>610</v>
      </c>
      <c r="N7" s="6">
        <f>SUM(B7:M7)</f>
        <v/>
      </c>
      <c r="O7" s="7">
        <f>N7/$N$10</f>
        <v/>
      </c>
    </row>
    <row r="8">
      <c r="A8" s="4" t="inlineStr">
        <is>
          <t>Tony Lama</t>
        </is>
      </c>
      <c r="B8" s="5" t="n">
        <v>400</v>
      </c>
      <c r="C8" s="5" t="n">
        <v>410</v>
      </c>
      <c r="D8" s="5" t="n">
        <v>405</v>
      </c>
      <c r="E8" s="5" t="n">
        <v>420</v>
      </c>
      <c r="F8" s="5" t="n">
        <v>430</v>
      </c>
      <c r="G8" s="5" t="n">
        <v>445</v>
      </c>
      <c r="H8" s="5" t="n">
        <v>450</v>
      </c>
      <c r="I8" s="5" t="n">
        <v>460</v>
      </c>
      <c r="J8" s="5" t="n">
        <v>470</v>
      </c>
      <c r="K8" s="5" t="n">
        <v>480</v>
      </c>
      <c r="L8" s="5" t="n">
        <v>490</v>
      </c>
      <c r="M8" s="5" t="n">
        <v>505</v>
      </c>
      <c r="N8" s="6">
        <f>SUM(B8:M8)</f>
        <v/>
      </c>
      <c r="O8" s="7">
        <f>N8/$N$10</f>
        <v/>
      </c>
    </row>
    <row r="9">
      <c r="A9" s="4" t="inlineStr">
        <is>
          <t>Allens Boots</t>
        </is>
      </c>
      <c r="B9" s="5" t="n">
        <v>300</v>
      </c>
      <c r="C9" s="5" t="n">
        <v>310</v>
      </c>
      <c r="D9" s="5" t="n">
        <v>305</v>
      </c>
      <c r="E9" s="5" t="n">
        <v>315</v>
      </c>
      <c r="F9" s="5" t="n">
        <v>325</v>
      </c>
      <c r="G9" s="5" t="n">
        <v>330</v>
      </c>
      <c r="H9" s="5" t="n">
        <v>340</v>
      </c>
      <c r="I9" s="5" t="n">
        <v>350</v>
      </c>
      <c r="J9" s="5" t="n">
        <v>355</v>
      </c>
      <c r="K9" s="5" t="n">
        <v>360</v>
      </c>
      <c r="L9" s="5" t="n">
        <v>370</v>
      </c>
      <c r="M9" s="5" t="n">
        <v>380</v>
      </c>
      <c r="N9" s="6">
        <f>SUM(B9:M9)</f>
        <v/>
      </c>
      <c r="O9" s="7">
        <f>N9/$N$10</f>
        <v/>
      </c>
    </row>
    <row r="10">
      <c r="A10" s="6" t="inlineStr">
        <is>
          <t>All brands</t>
        </is>
      </c>
      <c r="B10" s="8">
        <f>SUM(B5:B9)</f>
        <v/>
      </c>
      <c r="C10" s="8">
        <f>SUM(C5:C9)</f>
        <v/>
      </c>
      <c r="D10" s="8">
        <f>SUM(D5:D9)</f>
        <v/>
      </c>
      <c r="E10" s="8">
        <f>SUM(E5:E9)</f>
        <v/>
      </c>
      <c r="F10" s="8">
        <f>SUM(F5:F9)</f>
        <v/>
      </c>
      <c r="G10" s="8">
        <f>SUM(G5:G9)</f>
        <v/>
      </c>
      <c r="H10" s="8">
        <f>SUM(H5:H9)</f>
        <v/>
      </c>
      <c r="I10" s="8">
        <f>SUM(I5:I9)</f>
        <v/>
      </c>
      <c r="J10" s="8">
        <f>SUM(J5:J9)</f>
        <v/>
      </c>
      <c r="K10" s="8">
        <f>SUM(K5:K9)</f>
        <v/>
      </c>
      <c r="L10" s="8">
        <f>SUM(L5:L9)</f>
        <v/>
      </c>
      <c r="M10" s="8">
        <f>SUM(M5:M9)</f>
        <v/>
      </c>
      <c r="N10" s="9">
        <f>SUM(N5:N9)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Net sentiment — weekly scored posts</t>
        </is>
      </c>
    </row>
    <row r="2">
      <c r="A2" s="2" t="inlineStr">
        <is>
          <t>Range -1.0 to +1.0 · grounded in 18,640 scored posts · frozen 2026-06-14</t>
        </is>
      </c>
    </row>
    <row r="4">
      <c r="A4" s="3" t="inlineStr">
        <is>
          <t>Brand</t>
        </is>
      </c>
      <c r="B4" s="3" t="inlineStr">
        <is>
          <t>W14</t>
        </is>
      </c>
      <c r="C4" s="3" t="inlineStr">
        <is>
          <t>W15</t>
        </is>
      </c>
      <c r="D4" s="3" t="inlineStr">
        <is>
          <t>W16</t>
        </is>
      </c>
      <c r="E4" s="3" t="inlineStr">
        <is>
          <t>W17</t>
        </is>
      </c>
      <c r="F4" s="3" t="inlineStr">
        <is>
          <t>W18</t>
        </is>
      </c>
      <c r="G4" s="3" t="inlineStr">
        <is>
          <t>W19</t>
        </is>
      </c>
      <c r="H4" s="3" t="inlineStr">
        <is>
          <t>W20</t>
        </is>
      </c>
      <c r="I4" s="3" t="inlineStr">
        <is>
          <t>W21</t>
        </is>
      </c>
      <c r="J4" s="3" t="inlineStr">
        <is>
          <t>W22</t>
        </is>
      </c>
      <c r="K4" s="3" t="inlineStr">
        <is>
          <t>W23</t>
        </is>
      </c>
      <c r="L4" s="3" t="inlineStr">
        <is>
          <t>W24</t>
        </is>
      </c>
      <c r="M4" s="3" t="inlineStr">
        <is>
          <t>W25</t>
        </is>
      </c>
      <c r="N4" s="3" t="inlineStr">
        <is>
          <t>Avg</t>
        </is>
      </c>
    </row>
    <row r="5">
      <c r="A5" s="4" t="inlineStr">
        <is>
          <t>Tecovas</t>
        </is>
      </c>
      <c r="B5" s="10" t="n">
        <v>0.54</v>
      </c>
      <c r="C5" s="10" t="n">
        <v>0.55</v>
      </c>
      <c r="D5" s="10" t="n">
        <v>0.53</v>
      </c>
      <c r="E5" s="10" t="n">
        <v>0.57</v>
      </c>
      <c r="F5" s="10" t="n">
        <v>0.59</v>
      </c>
      <c r="G5" s="10" t="n">
        <v>0.58</v>
      </c>
      <c r="H5" s="10" t="n">
        <v>0.61</v>
      </c>
      <c r="I5" s="10" t="n">
        <v>0.6</v>
      </c>
      <c r="J5" s="10" t="n">
        <v>0.63</v>
      </c>
      <c r="K5" s="10" t="n">
        <v>0.62</v>
      </c>
      <c r="L5" s="10" t="n">
        <v>0.66</v>
      </c>
      <c r="M5" s="10" t="n">
        <v>0.65</v>
      </c>
      <c r="N5" s="11">
        <f>AVERAGE(B5:M5)</f>
        <v/>
      </c>
    </row>
    <row r="6">
      <c r="A6" s="4" t="inlineStr">
        <is>
          <t>Ariat</t>
        </is>
      </c>
      <c r="B6" s="10" t="n">
        <v>0.51</v>
      </c>
      <c r="C6" s="10" t="n">
        <v>0.5</v>
      </c>
      <c r="D6" s="10" t="n">
        <v>0.52</v>
      </c>
      <c r="E6" s="10" t="n">
        <v>0.49</v>
      </c>
      <c r="F6" s="10" t="n">
        <v>0.53</v>
      </c>
      <c r="G6" s="10" t="n">
        <v>0.55</v>
      </c>
      <c r="H6" s="10" t="n">
        <v>0.54</v>
      </c>
      <c r="I6" s="10" t="n">
        <v>0.5600000000000001</v>
      </c>
      <c r="J6" s="10" t="n">
        <v>0.55</v>
      </c>
      <c r="K6" s="10" t="n">
        <v>0.57</v>
      </c>
      <c r="L6" s="10" t="n">
        <v>0.5600000000000001</v>
      </c>
      <c r="M6" s="10" t="n">
        <v>0.58</v>
      </c>
      <c r="N6" s="11">
        <f>AVERAGE(B6:M6)</f>
        <v/>
      </c>
    </row>
    <row r="7">
      <c r="A7" s="4" t="inlineStr">
        <is>
          <t>Lucchese</t>
        </is>
      </c>
      <c r="B7" s="10" t="n">
        <v>0.6</v>
      </c>
      <c r="C7" s="10" t="n">
        <v>0.59</v>
      </c>
      <c r="D7" s="10" t="n">
        <v>0.62</v>
      </c>
      <c r="E7" s="10" t="n">
        <v>0.61</v>
      </c>
      <c r="F7" s="10" t="n">
        <v>0.63</v>
      </c>
      <c r="G7" s="10" t="n">
        <v>0.64</v>
      </c>
      <c r="H7" s="10" t="n">
        <v>0.62</v>
      </c>
      <c r="I7" s="10" t="n">
        <v>0.65</v>
      </c>
      <c r="J7" s="10" t="n">
        <v>0.66</v>
      </c>
      <c r="K7" s="10" t="n">
        <v>0.64</v>
      </c>
      <c r="L7" s="10" t="n">
        <v>0.67</v>
      </c>
      <c r="M7" s="10" t="n">
        <v>0.68</v>
      </c>
      <c r="N7" s="11">
        <f>AVERAGE(B7:M7)</f>
        <v/>
      </c>
    </row>
    <row r="8">
      <c r="A8" s="4" t="inlineStr">
        <is>
          <t>Tony Lama</t>
        </is>
      </c>
      <c r="B8" s="10" t="n">
        <v>0.41</v>
      </c>
      <c r="C8" s="10" t="n">
        <v>0.42</v>
      </c>
      <c r="D8" s="10" t="n">
        <v>0.4</v>
      </c>
      <c r="E8" s="10" t="n">
        <v>0.43</v>
      </c>
      <c r="F8" s="10" t="n">
        <v>0.44</v>
      </c>
      <c r="G8" s="10" t="n">
        <v>0.42</v>
      </c>
      <c r="H8" s="10" t="n">
        <v>0.45</v>
      </c>
      <c r="I8" s="10" t="n">
        <v>0.44</v>
      </c>
      <c r="J8" s="10" t="n">
        <v>0.46</v>
      </c>
      <c r="K8" s="10" t="n">
        <v>0.45</v>
      </c>
      <c r="L8" s="10" t="n">
        <v>0.47</v>
      </c>
      <c r="M8" s="10" t="n">
        <v>0.46</v>
      </c>
      <c r="N8" s="11">
        <f>AVERAGE(B8:M8)</f>
        <v/>
      </c>
    </row>
    <row r="9">
      <c r="A9" s="4" t="inlineStr">
        <is>
          <t>Allens Boots</t>
        </is>
      </c>
      <c r="B9" s="10" t="n">
        <v>0.48</v>
      </c>
      <c r="C9" s="10" t="n">
        <v>0.49</v>
      </c>
      <c r="D9" s="10" t="n">
        <v>0.47</v>
      </c>
      <c r="E9" s="10" t="n">
        <v>0.5</v>
      </c>
      <c r="F9" s="10" t="n">
        <v>0.51</v>
      </c>
      <c r="G9" s="10" t="n">
        <v>0.49</v>
      </c>
      <c r="H9" s="10" t="n">
        <v>0.52</v>
      </c>
      <c r="I9" s="10" t="n">
        <v>0.53</v>
      </c>
      <c r="J9" s="10" t="n">
        <v>0.51</v>
      </c>
      <c r="K9" s="10" t="n">
        <v>0.54</v>
      </c>
      <c r="L9" s="10" t="n">
        <v>0.53</v>
      </c>
      <c r="M9" s="10" t="n">
        <v>0.55</v>
      </c>
      <c r="N9" s="11">
        <f>AVERAGE(B9:M9)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Mentions by source — trailing 30 days</t>
        </is>
      </c>
    </row>
    <row r="2">
      <c r="A2" s="2" t="inlineStr">
        <is>
          <t>Per-brand stream split · grounded in 5 source streams · frozen 2026-06-14</t>
        </is>
      </c>
    </row>
    <row r="4">
      <c r="A4" s="3" t="inlineStr">
        <is>
          <t>Brand</t>
        </is>
      </c>
      <c r="B4" s="3" t="inlineStr">
        <is>
          <t>Instagram</t>
        </is>
      </c>
      <c r="C4" s="3" t="inlineStr">
        <is>
          <t>TikTok</t>
        </is>
      </c>
      <c r="D4" s="3" t="inlineStr">
        <is>
          <t>Reddit</t>
        </is>
      </c>
      <c r="E4" s="3" t="inlineStr">
        <is>
          <t>Reviews</t>
        </is>
      </c>
      <c r="F4" s="3" t="inlineStr">
        <is>
          <t>News</t>
        </is>
      </c>
      <c r="G4" s="3" t="inlineStr">
        <is>
          <t>Total</t>
        </is>
      </c>
    </row>
    <row r="5">
      <c r="A5" s="4" t="inlineStr">
        <is>
          <t>Tecovas</t>
        </is>
      </c>
      <c r="B5" s="5" t="n">
        <v>2180</v>
      </c>
      <c r="C5" s="5" t="n">
        <v>2640</v>
      </c>
      <c r="D5" s="5" t="n">
        <v>910</v>
      </c>
      <c r="E5" s="5" t="n">
        <v>1020</v>
      </c>
      <c r="F5" s="5" t="n">
        <v>560</v>
      </c>
      <c r="G5" s="6">
        <f>SUM(B5:F5)</f>
        <v/>
      </c>
    </row>
    <row r="6">
      <c r="A6" s="4" t="inlineStr">
        <is>
          <t>Ariat</t>
        </is>
      </c>
      <c r="B6" s="5" t="n">
        <v>2560</v>
      </c>
      <c r="C6" s="5" t="n">
        <v>2210</v>
      </c>
      <c r="D6" s="5" t="n">
        <v>1080</v>
      </c>
      <c r="E6" s="5" t="n">
        <v>1140</v>
      </c>
      <c r="F6" s="5" t="n">
        <v>690</v>
      </c>
      <c r="G6" s="6">
        <f>SUM(B6:F6)</f>
        <v/>
      </c>
    </row>
    <row r="7">
      <c r="A7" s="4" t="inlineStr">
        <is>
          <t>Lucchese</t>
        </is>
      </c>
      <c r="B7" s="5" t="n">
        <v>980</v>
      </c>
      <c r="C7" s="5" t="n">
        <v>640</v>
      </c>
      <c r="D7" s="5" t="n">
        <v>470</v>
      </c>
      <c r="E7" s="5" t="n">
        <v>520</v>
      </c>
      <c r="F7" s="5" t="n">
        <v>340</v>
      </c>
      <c r="G7" s="6">
        <f>SUM(B7:F7)</f>
        <v/>
      </c>
    </row>
    <row r="8">
      <c r="A8" s="4" t="inlineStr">
        <is>
          <t>Tony Lama</t>
        </is>
      </c>
      <c r="B8" s="5" t="n">
        <v>760</v>
      </c>
      <c r="C8" s="5" t="n">
        <v>520</v>
      </c>
      <c r="D8" s="5" t="n">
        <v>410</v>
      </c>
      <c r="E8" s="5" t="n">
        <v>430</v>
      </c>
      <c r="F8" s="5" t="n">
        <v>270</v>
      </c>
      <c r="G8" s="6">
        <f>SUM(B8:F8)</f>
        <v/>
      </c>
    </row>
    <row r="9">
      <c r="A9" s="4" t="inlineStr">
        <is>
          <t>Allens Boots</t>
        </is>
      </c>
      <c r="B9" s="5" t="n">
        <v>560</v>
      </c>
      <c r="C9" s="5" t="n">
        <v>430</v>
      </c>
      <c r="D9" s="5" t="n">
        <v>300</v>
      </c>
      <c r="E9" s="5" t="n">
        <v>360</v>
      </c>
      <c r="F9" s="5" t="n">
        <v>210</v>
      </c>
      <c r="G9" s="6">
        <f>SUM(B9:F9)</f>
        <v/>
      </c>
    </row>
    <row r="10">
      <c r="A10" s="6" t="inlineStr">
        <is>
          <t>All brands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9">
        <f>SUM(G5:G9)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46" customWidth="1" min="4" max="4"/>
    <col width="28" customWidth="1" min="5" max="5"/>
    <col width="22" customWidth="1" min="6" max="6"/>
  </cols>
  <sheetData>
    <row r="1">
      <c r="A1" s="1" t="inlineStr">
        <is>
          <t>Movers log — pricing, product &amp; ad-spend changes</t>
        </is>
      </c>
    </row>
    <row r="2">
      <c r="A2" s="2" t="inlineStr">
        <is>
          <t>Dated competitive movements observed during the window · frozen 2026-06-14</t>
        </is>
      </c>
    </row>
    <row r="4">
      <c r="A4" s="3" t="inlineStr">
        <is>
          <t>Date</t>
        </is>
      </c>
      <c r="B4" s="3" t="inlineStr">
        <is>
          <t>Brand</t>
        </is>
      </c>
      <c r="C4" s="3" t="inlineStr">
        <is>
          <t>Type</t>
        </is>
      </c>
      <c r="D4" s="3" t="inlineStr">
        <is>
          <t>Change</t>
        </is>
      </c>
      <c r="E4" s="3" t="inlineStr">
        <is>
          <t>Est. impact</t>
        </is>
      </c>
      <c r="F4" s="3" t="inlineStr">
        <is>
          <t>Source</t>
        </is>
      </c>
    </row>
    <row r="5">
      <c r="A5" s="12" t="inlineStr">
        <is>
          <t>2026-04-09</t>
        </is>
      </c>
      <c r="B5" s="13" t="inlineStr">
        <is>
          <t>Ariat</t>
        </is>
      </c>
      <c r="C5" s="12" t="inlineStr">
        <is>
          <t>Ad spend</t>
        </is>
      </c>
      <c r="D5" s="14" t="inlineStr">
        <is>
          <t>Launched 'Built for the Long Haul' video flight across Meta + YouTube</t>
        </is>
      </c>
      <c r="E5" s="14" t="inlineStr">
        <is>
          <t>+18% impressions QoQ</t>
        </is>
      </c>
      <c r="F5" s="12" t="inlineStr">
        <is>
          <t>Meta Ad Library</t>
        </is>
      </c>
    </row>
    <row r="6">
      <c r="A6" s="12" t="inlineStr">
        <is>
          <t>2026-04-17</t>
        </is>
      </c>
      <c r="B6" s="13" t="inlineStr">
        <is>
          <t>Tecovas</t>
        </is>
      </c>
      <c r="C6" s="12" t="inlineStr">
        <is>
          <t>Product</t>
        </is>
      </c>
      <c r="D6" s="14" t="inlineStr">
        <is>
          <t>Dropped The Earl (lizard print, $375) — exotic-tier expansion</t>
        </is>
      </c>
      <c r="E6" s="14" t="inlineStr">
        <is>
          <t>New $375 price ceiling in core line</t>
        </is>
      </c>
      <c r="F6" s="12" t="inlineStr">
        <is>
          <t>tecovas.com PDP</t>
        </is>
      </c>
    </row>
    <row r="7">
      <c r="A7" s="12" t="inlineStr">
        <is>
          <t>2026-04-28</t>
        </is>
      </c>
      <c r="B7" s="13" t="inlineStr">
        <is>
          <t>Lucchese</t>
        </is>
      </c>
      <c r="C7" s="12" t="inlineStr">
        <is>
          <t>Pricing</t>
        </is>
      </c>
      <c r="D7" s="14" t="inlineStr">
        <is>
          <t>Raised handmade Classics +$50 (now $645 entry)</t>
        </is>
      </c>
      <c r="E7" s="14" t="inlineStr">
        <is>
          <t>Widened premium gap vs Tecovas</t>
        </is>
      </c>
      <c r="F7" s="12" t="inlineStr">
        <is>
          <t>lucchese.com store</t>
        </is>
      </c>
    </row>
    <row r="8">
      <c r="A8" s="12" t="inlineStr">
        <is>
          <t>2026-05-05</t>
        </is>
      </c>
      <c r="B8" s="13" t="inlineStr">
        <is>
          <t>Tony Lama</t>
        </is>
      </c>
      <c r="C8" s="12" t="inlineStr">
        <is>
          <t>Promo</t>
        </is>
      </c>
      <c r="D8" s="14" t="inlineStr">
        <is>
          <t>Sitewide 25% spring clearance, 9 days</t>
        </is>
      </c>
      <c r="E8" s="14" t="inlineStr">
        <is>
          <t>Margin-led, low brand lift</t>
        </is>
      </c>
      <c r="F8" s="12" t="inlineStr">
        <is>
          <t>tonylama.com banner</t>
        </is>
      </c>
    </row>
    <row r="9">
      <c r="A9" s="12" t="inlineStr">
        <is>
          <t>2026-05-14</t>
        </is>
      </c>
      <c r="B9" s="13" t="inlineStr">
        <is>
          <t>Tecovas</t>
        </is>
      </c>
      <c r="C9" s="12" t="inlineStr">
        <is>
          <t>Ad spend</t>
        </is>
      </c>
      <c r="D9" s="14" t="inlineStr">
        <is>
          <t>New retail-store opening creative (Nashville) — geo-targeted</t>
        </is>
      </c>
      <c r="E9" s="14" t="inlineStr">
        <is>
          <t>+6% local mention volume</t>
        </is>
      </c>
      <c r="F9" s="12" t="inlineStr">
        <is>
          <t>Meta Ad Library</t>
        </is>
      </c>
    </row>
    <row r="10">
      <c r="A10" s="12" t="inlineStr">
        <is>
          <t>2026-05-21</t>
        </is>
      </c>
      <c r="B10" s="13" t="inlineStr">
        <is>
          <t>Ariat</t>
        </is>
      </c>
      <c r="C10" s="12" t="inlineStr">
        <is>
          <t>Product</t>
        </is>
      </c>
      <c r="D10" s="14" t="inlineStr">
        <is>
          <t>Sport Western refresh, ATS Max midsole, held $280</t>
        </is>
      </c>
      <c r="E10" s="14" t="inlineStr">
        <is>
          <t>Performance-comfort reframe</t>
        </is>
      </c>
      <c r="F10" s="12" t="inlineStr">
        <is>
          <t>ariat.com PDP</t>
        </is>
      </c>
    </row>
    <row r="11">
      <c r="A11" s="12" t="inlineStr">
        <is>
          <t>2026-05-29</t>
        </is>
      </c>
      <c r="B11" s="13" t="inlineStr">
        <is>
          <t>Allens Boots</t>
        </is>
      </c>
      <c r="C11" s="12" t="inlineStr">
        <is>
          <t>Pricing</t>
        </is>
      </c>
      <c r="D11" s="14" t="inlineStr">
        <is>
          <t>Reduced shipping threshold to $99</t>
        </is>
      </c>
      <c r="E11" s="14" t="inlineStr">
        <is>
          <t>Minor SoV bump (+1 pt)</t>
        </is>
      </c>
      <c r="F11" s="12" t="inlineStr">
        <is>
          <t>allensboots.com</t>
        </is>
      </c>
    </row>
    <row r="12">
      <c r="A12" s="12" t="inlineStr">
        <is>
          <t>2026-06-04</t>
        </is>
      </c>
      <c r="B12" s="13" t="inlineStr">
        <is>
          <t>Tecovas</t>
        </is>
      </c>
      <c r="C12" s="12" t="inlineStr">
        <is>
          <t>Product</t>
        </is>
      </c>
      <c r="D12" s="14" t="inlineStr">
        <is>
          <t>Weekender Bag restock + leather-goods push</t>
        </is>
      </c>
      <c r="E12" s="14" t="inlineStr">
        <is>
          <t>Category breadth signal</t>
        </is>
      </c>
      <c r="F12" s="12" t="inlineStr">
        <is>
          <t>tecovas.com collection</t>
        </is>
      </c>
    </row>
    <row r="13">
      <c r="A13" s="12" t="inlineStr">
        <is>
          <t>2026-06-10</t>
        </is>
      </c>
      <c r="B13" s="13" t="inlineStr">
        <is>
          <t>Lucchese</t>
        </is>
      </c>
      <c r="C13" s="12" t="inlineStr">
        <is>
          <t>Ad spend</t>
        </is>
      </c>
      <c r="D13" s="14" t="inlineStr">
        <is>
          <t>Heritage-craft long-form on Instagram Reels</t>
        </is>
      </c>
      <c r="E13" s="14" t="inlineStr">
        <is>
          <t>+0.03 net sentiment</t>
        </is>
      </c>
      <c r="F13" s="12" t="inlineStr">
        <is>
          <t>@lucchese IG</t>
        </is>
      </c>
    </row>
    <row r="14">
      <c r="A14" s="12" t="inlineStr">
        <is>
          <t>2026-06-12</t>
        </is>
      </c>
      <c r="B14" s="13" t="inlineStr">
        <is>
          <t>Ariat</t>
        </is>
      </c>
      <c r="C14" s="12" t="inlineStr">
        <is>
          <t>Promo</t>
        </is>
      </c>
      <c r="D14" s="14" t="inlineStr">
        <is>
          <t>Father's Day bundle (boot + belt) at $299</t>
        </is>
      </c>
      <c r="E14" s="14" t="inlineStr">
        <is>
          <t>Bundle anchor vs Tecovas a-la-carte</t>
        </is>
      </c>
      <c r="F14" s="12" t="inlineStr">
        <is>
          <t>ariat.com email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Methodology &amp; provenance</t>
        </is>
      </c>
    </row>
    <row r="3">
      <c r="A3" s="4" t="inlineStr">
        <is>
          <t>Tracker</t>
        </is>
      </c>
      <c r="B3" s="15" t="inlineStr">
        <is>
          <t>Brand Nana brand-health monitor — DTC western-wear category</t>
        </is>
      </c>
    </row>
    <row r="4">
      <c r="A4" s="4" t="inlineStr">
        <is>
          <t>Date range</t>
        </is>
      </c>
      <c r="B4" s="15" t="inlineStr">
        <is>
          <t>2026-04-01 to 2026-06-13 (12 weeks)</t>
        </is>
      </c>
    </row>
    <row r="5">
      <c r="A5" s="4" t="inlineStr">
        <is>
          <t>Frozen at</t>
        </is>
      </c>
      <c r="B5" s="15" t="inlineStr">
        <is>
          <t>2026-06-14</t>
        </is>
      </c>
    </row>
    <row r="6">
      <c r="A6" s="4" t="inlineStr">
        <is>
          <t>Brands tracked</t>
        </is>
      </c>
      <c r="B6" s="15" t="inlineStr">
        <is>
          <t>Tecovas, Ariat, Lucchese, Tony Lama, Allens Boots</t>
        </is>
      </c>
    </row>
    <row r="7">
      <c r="A7" s="4" t="inlineStr"/>
      <c r="B7" s="15" t="inlineStr"/>
    </row>
    <row r="8">
      <c r="A8" s="4" t="inlineStr">
        <is>
          <t>Source streams</t>
        </is>
      </c>
      <c r="B8" s="15" t="inlineStr">
        <is>
          <t>Instagram, TikTok, Reddit, Reviews (Trustpilot/Google/PDP), News</t>
        </is>
      </c>
    </row>
    <row r="9">
      <c r="A9" s="4" t="inlineStr">
        <is>
          <t>Mentions corpus</t>
        </is>
      </c>
      <c r="B9" s="15" t="inlineStr">
        <is>
          <t>45,180 brand mentions de-duplicated across streams</t>
        </is>
      </c>
    </row>
    <row r="10">
      <c r="A10" s="4" t="inlineStr">
        <is>
          <t>Sentiment corpus</t>
        </is>
      </c>
      <c r="B10" s="15" t="inlineStr">
        <is>
          <t>18,640 posts scored on a -1.0 to +1.0 net scale</t>
        </is>
      </c>
    </row>
    <row r="11">
      <c r="A11" s="4" t="inlineStr">
        <is>
          <t>NPS signals</t>
        </is>
      </c>
      <c r="B11" s="15" t="inlineStr">
        <is>
          <t>2,940 survey + review signals (proxy model)</t>
        </is>
      </c>
    </row>
    <row r="12">
      <c r="A12" s="4" t="inlineStr">
        <is>
          <t>Search</t>
        </is>
      </c>
      <c r="B12" s="15" t="inlineStr">
        <is>
          <t>96 tracked category + branded queries (share-of-search)</t>
        </is>
      </c>
    </row>
    <row r="13">
      <c r="A13" s="4" t="inlineStr"/>
      <c r="B13" s="15" t="inlineStr"/>
    </row>
    <row r="14">
      <c r="A14" s="4" t="inlineStr">
        <is>
          <t>Catalog grounding</t>
        </is>
      </c>
      <c r="B14" s="15" t="inlineStr">
        <is>
          <t>Tecovas: 1,358 catalog products crawled (catalog-tecovas.csv = 60-row slice)</t>
        </is>
      </c>
    </row>
    <row r="15">
      <c r="A15" s="4" t="inlineStr">
        <is>
          <t>Social grounding</t>
        </is>
      </c>
      <c r="B15" s="15" t="inlineStr">
        <is>
          <t>4 social profiles per brand where public</t>
        </is>
      </c>
    </row>
    <row r="16">
      <c r="A16" s="4" t="inlineStr">
        <is>
          <t>Ad grounding</t>
        </is>
      </c>
      <c r="B16" s="15" t="inlineStr">
        <is>
          <t>22 ad creatives sampled from Meta Ad Library</t>
        </is>
      </c>
    </row>
    <row r="17">
      <c r="A17" s="4" t="inlineStr"/>
      <c r="B17" s="15" t="inlineStr"/>
    </row>
    <row r="18">
      <c r="A18" s="4" t="inlineStr">
        <is>
          <t>SoV definition</t>
        </is>
      </c>
      <c r="B18" s="15" t="inlineStr">
        <is>
          <t>Brand mentions / total category mentions, by week</t>
        </is>
      </c>
    </row>
    <row r="19">
      <c r="A19" s="4" t="inlineStr">
        <is>
          <t>Sentiment method</t>
        </is>
      </c>
      <c r="B19" s="15" t="inlineStr">
        <is>
          <t>Transformer classifier + human spot-check (5% sample, 0.91 agreement)</t>
        </is>
      </c>
    </row>
    <row r="20">
      <c r="A20" s="4" t="inlineStr">
        <is>
          <t>Limitations</t>
        </is>
      </c>
      <c r="B20" s="15" t="inlineStr">
        <is>
          <t>Private platforms (DMs, paid Slack/Discord) excluded; News skews EN-language</t>
        </is>
      </c>
    </row>
    <row r="21">
      <c r="A21" s="4" t="inlineStr"/>
      <c r="B21" s="15" t="inlineStr"/>
    </row>
    <row r="22">
      <c r="A22" s="4" t="inlineStr">
        <is>
          <t>Prepared by</t>
        </is>
      </c>
      <c r="B22" s="15" t="inlineStr">
        <is>
          <t>Brand Nana · confidential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2026-06-15T00:14:07Z</dcterms:created>
  <dcterms:modified xmlns:dcterms="http://purl.org/dc/terms/" xmlns:xsi="http://www.w3.org/2001/XMLSchema-instance" xsi:type="dcterms:W3CDTF">2026-06-15T00:14:07Z</dcterms:modified>
</cp:coreProperties>
</file>