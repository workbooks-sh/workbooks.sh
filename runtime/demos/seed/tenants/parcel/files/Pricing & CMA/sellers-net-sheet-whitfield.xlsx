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color rgb="FF5B6660"/>
      <sz val="10.5"/>
    </font>
    <font>
      <i val="1"/>
      <color rgb="FF8A958F"/>
      <sz val="9"/>
    </font>
    <font>
      <b val="1"/>
      <color rgb="FF0C0F0D"/>
      <sz val="11"/>
    </font>
    <font>
      <color rgb="FF0C0F0D"/>
      <sz val="10.5"/>
    </font>
    <font>
      <color rgb="FFB04A2A"/>
      <sz val="10.5"/>
    </font>
    <font>
      <b val="1"/>
      <color rgb="FF0C0F0D"/>
      <sz val="12"/>
    </font>
    <font>
      <b val="1"/>
      <color rgb="FF149157"/>
      <sz val="12"/>
    </font>
    <font>
      <b val="1"/>
      <color rgb="FFFFFFFF"/>
      <sz val="10"/>
    </font>
    <font>
      <color rgb="FF0C0F0D"/>
      <sz val="10"/>
    </font>
    <font>
      <color rgb="FFB04A2A"/>
      <sz val="10"/>
    </font>
    <font>
      <b val="1"/>
      <color rgb="FF0C0F0D"/>
      <sz val="10.5"/>
    </font>
    <font>
      <b val="1"/>
      <color rgb="FF149157"/>
      <sz val="10.5"/>
    </font>
    <font>
      <i val="1"/>
      <color rgb="FF8A958F"/>
      <sz val="8.5"/>
    </font>
  </fonts>
  <fills count="4">
    <fill>
      <patternFill/>
    </fill>
    <fill>
      <patternFill patternType="gray125"/>
    </fill>
    <fill>
      <patternFill patternType="solid">
        <fgColor rgb="FF149157"/>
      </patternFill>
    </fill>
    <fill>
      <patternFill patternType="solid">
        <fgColor rgb="FFF1F8F4"/>
      </patternFill>
    </fill>
  </fills>
  <borders count="4">
    <border>
      <left/>
      <right/>
      <top/>
      <bottom/>
      <diagonal/>
    </border>
    <border>
      <left style="thin">
        <color rgb="FFE6EFE9"/>
      </left>
      <right style="thin">
        <color rgb="FFE6EFE9"/>
      </right>
      <top style="thin">
        <color rgb="FFE6EFE9"/>
      </top>
      <bottom style="thin">
        <color rgb="FFE6EFE9"/>
      </bottom>
    </border>
    <border>
      <left style="thin">
        <color rgb="FFE6EFE9"/>
      </left>
      <right style="thin">
        <color rgb="FFE6EFE9"/>
      </right>
      <top style="medium">
        <color rgb="FF149157"/>
      </top>
      <bottom style="medium">
        <color rgb="FF149157"/>
      </bottom>
    </border>
    <border>
      <left style="thin">
        <color rgb="FFE6EFE9"/>
      </left>
      <right style="thin">
        <color rgb="FFE6EFE9"/>
      </right>
      <top style="medium">
        <color rgb="FF149157"/>
      </top>
      <bottom style="thin">
        <color rgb="FFE6EF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indent="1"/>
    </xf>
    <xf numFmtId="0" fontId="3" fillId="0" borderId="0" applyAlignment="1" pivotButton="0" quotePrefix="0" xfId="0">
      <alignment indent="1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7" fillId="3" borderId="2" pivotButton="0" quotePrefix="0" xfId="0"/>
    <xf numFmtId="164" fontId="8" fillId="3" borderId="2" pivotButton="0" quotePrefix="0" xfId="0"/>
    <xf numFmtId="0" fontId="4" fillId="0" borderId="0" pivotButton="0" quotePrefix="0" xfId="0"/>
    <xf numFmtId="0" fontId="9" fillId="2" borderId="1" applyAlignment="1" pivotButton="0" quotePrefix="0" xfId="0">
      <alignment horizontal="left" indent="1"/>
    </xf>
    <xf numFmtId="0" fontId="9" fillId="2" borderId="1" applyAlignment="1" pivotButton="0" quotePrefix="0" xfId="0">
      <alignment horizontal="center"/>
    </xf>
    <xf numFmtId="0" fontId="10" fillId="0" borderId="1" applyAlignment="1" pivotButton="0" quotePrefix="0" xfId="0">
      <alignment indent="1"/>
    </xf>
    <xf numFmtId="164" fontId="10" fillId="0" borderId="1" pivotButton="0" quotePrefix="0" xfId="0"/>
    <xf numFmtId="164" fontId="11" fillId="0" borderId="1" pivotButton="0" quotePrefix="0" xfId="0"/>
    <xf numFmtId="0" fontId="12" fillId="3" borderId="3" applyAlignment="1" pivotButton="0" quotePrefix="0" xfId="0">
      <alignment indent="1"/>
    </xf>
    <xf numFmtId="164" fontId="13" fillId="3" borderId="3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3" customWidth="1" min="4" max="4"/>
    <col width="16" customWidth="1" min="5" max="5"/>
    <col width="16" customWidth="1" min="6" max="6"/>
    <col width="16" customWidth="1" min="7" max="7"/>
  </cols>
  <sheetData>
    <row r="2" ht="34" customHeight="1">
      <c r="B2" s="1" t="inlineStr">
        <is>
          <t>PARCEL  ·  Seller's Estimated Net Proceeds</t>
        </is>
      </c>
      <c r="C2" s="2" t="n"/>
      <c r="D2" s="2" t="n"/>
      <c r="E2" s="2" t="n"/>
      <c r="F2" s="2" t="n"/>
      <c r="G2" s="2" t="n"/>
    </row>
    <row r="3">
      <c r="B3" s="3" t="inlineStr">
        <is>
          <t>Prepared for John &amp; Diane Whitfield  ·  48 Larkspur Lane, Riverside Heights  ·  MLS# RH-2026-04417</t>
        </is>
      </c>
    </row>
    <row r="4">
      <c r="B4" s="4" t="inlineStr">
        <is>
          <t>Prepared by Marisol Reyes, Listing Agent (Lic #02118447)  ·  June 14, 2026  ·  Estimate only — figures verified at closing by escrow.</t>
        </is>
      </c>
    </row>
    <row r="6">
      <c r="B6" s="5" t="inlineStr">
        <is>
          <t>Line item</t>
        </is>
      </c>
      <c r="C6" s="6" t="inlineStr">
        <is>
          <t>Amount</t>
        </is>
      </c>
    </row>
    <row r="7">
      <c r="B7" s="7" t="inlineStr">
        <is>
          <t>Sale price</t>
        </is>
      </c>
      <c r="C7" s="8" t="n">
        <v>724900</v>
      </c>
    </row>
    <row r="8">
      <c r="B8" s="7" t="inlineStr">
        <is>
          <t>Less: First mortgage payoff (Cedar Valley Bank)</t>
        </is>
      </c>
      <c r="C8" s="9" t="n">
        <v>-312400</v>
      </c>
    </row>
    <row r="9">
      <c r="B9" s="7" t="inlineStr">
        <is>
          <t>Less: Brokerage commission (5.0% of sale price)</t>
        </is>
      </c>
      <c r="C9" s="8">
        <f>-0.05*C7</f>
        <v/>
      </c>
    </row>
    <row r="10">
      <c r="B10" s="7" t="inlineStr">
        <is>
          <t>Less: Title insurance &amp; escrow fees</t>
        </is>
      </c>
      <c r="C10" s="9" t="n">
        <v>-2150</v>
      </c>
    </row>
    <row r="11">
      <c r="B11" s="7" t="inlineStr">
        <is>
          <t>Less: County transfer tax ($0.50 / $100)</t>
        </is>
      </c>
      <c r="C11" s="9" t="n">
        <v>-3624</v>
      </c>
    </row>
    <row r="12">
      <c r="B12" s="7" t="inlineStr">
        <is>
          <t>Less: Recording fees &amp; HOA transfer</t>
        </is>
      </c>
      <c r="C12" s="9" t="n">
        <v>-410</v>
      </c>
    </row>
    <row r="13">
      <c r="B13" s="7" t="inlineStr">
        <is>
          <t>Less: Staging, repairs &amp; pre-listing prep</t>
        </is>
      </c>
      <c r="C13" s="9" t="n">
        <v>-4800</v>
      </c>
    </row>
    <row r="14">
      <c r="B14" s="10" t="inlineStr">
        <is>
          <t>Estimated net proceeds to seller</t>
        </is>
      </c>
      <c r="C14" s="11">
        <f>SUM(C7:C13)</f>
        <v/>
      </c>
    </row>
    <row r="17">
      <c r="B17" s="12" t="inlineStr">
        <is>
          <t>Price sensitivity — estimated net at three list prices</t>
        </is>
      </c>
    </row>
    <row r="18">
      <c r="D18" s="13" t="inlineStr">
        <is>
          <t>Scenario</t>
        </is>
      </c>
      <c r="E18" s="14" t="inlineStr">
        <is>
          <t>$715,000</t>
        </is>
      </c>
      <c r="F18" s="14" t="inlineStr">
        <is>
          <t>$725,000</t>
        </is>
      </c>
      <c r="G18" s="14" t="inlineStr">
        <is>
          <t>$735,000</t>
        </is>
      </c>
    </row>
    <row r="19">
      <c r="D19" s="15" t="inlineStr">
        <is>
          <t>List / sale price</t>
        </is>
      </c>
      <c r="E19" s="16" t="n">
        <v>715000</v>
      </c>
      <c r="F19" s="16" t="n">
        <v>725000</v>
      </c>
      <c r="G19" s="16" t="n">
        <v>735000</v>
      </c>
    </row>
    <row r="20">
      <c r="D20" s="15" t="inlineStr">
        <is>
          <t>Mortgage payoff</t>
        </is>
      </c>
      <c r="E20" s="17" t="n">
        <v>-312400</v>
      </c>
      <c r="F20" s="17" t="n">
        <v>-312400</v>
      </c>
      <c r="G20" s="17" t="n">
        <v>-312400</v>
      </c>
    </row>
    <row r="21">
      <c r="D21" s="15" t="inlineStr">
        <is>
          <t>Commission (5.0%)</t>
        </is>
      </c>
      <c r="E21" s="17" t="n">
        <v>-35750</v>
      </c>
      <c r="F21" s="17" t="n">
        <v>-36250</v>
      </c>
      <c r="G21" s="17" t="n">
        <v>-36750</v>
      </c>
    </row>
    <row r="22">
      <c r="D22" s="15" t="inlineStr">
        <is>
          <t>Title &amp; escrow</t>
        </is>
      </c>
      <c r="E22" s="17" t="n">
        <v>-2150</v>
      </c>
      <c r="F22" s="17" t="n">
        <v>-2150</v>
      </c>
      <c r="G22" s="17" t="n">
        <v>-2150</v>
      </c>
    </row>
    <row r="23">
      <c r="D23" s="15" t="inlineStr">
        <is>
          <t>Transfer tax (0.50%)</t>
        </is>
      </c>
      <c r="E23" s="17" t="n">
        <v>-3575</v>
      </c>
      <c r="F23" s="17" t="n">
        <v>-3625</v>
      </c>
      <c r="G23" s="17" t="n">
        <v>-3675</v>
      </c>
    </row>
    <row r="24">
      <c r="D24" s="15" t="inlineStr">
        <is>
          <t>Recording / HOA</t>
        </is>
      </c>
      <c r="E24" s="17" t="n">
        <v>-410</v>
      </c>
      <c r="F24" s="17" t="n">
        <v>-410</v>
      </c>
      <c r="G24" s="17" t="n">
        <v>-410</v>
      </c>
    </row>
    <row r="25">
      <c r="D25" s="15" t="inlineStr">
        <is>
          <t>Staging &amp; prep</t>
        </is>
      </c>
      <c r="E25" s="17" t="n">
        <v>-4800</v>
      </c>
      <c r="F25" s="17" t="n">
        <v>-4800</v>
      </c>
      <c r="G25" s="17" t="n">
        <v>-4800</v>
      </c>
    </row>
    <row r="26">
      <c r="D26" s="18" t="inlineStr">
        <is>
          <t>Net to seller</t>
        </is>
      </c>
      <c r="E26" s="19">
        <f>SUM(E19:E25)</f>
        <v/>
      </c>
      <c r="F26" s="19">
        <f>SUM(F19:F25)</f>
        <v/>
      </c>
      <c r="G26" s="19">
        <f>SUM(G19:G25)</f>
        <v/>
      </c>
    </row>
    <row r="28" ht="42" customHeight="1">
      <c r="B28" s="20" t="inlineStr">
        <is>
          <t>Net proceeds are estimates and do not constitute a closing statement. Prorated property taxes, HOA dues, and per-diem interest are settled at closing. Commission reflects Parcel's standard 5.0% co-broke. Mortgage payoff quoted by Cedar Valley Bank as of 06/10/2026 and accrues interest until funded.</t>
        </is>
      </c>
    </row>
  </sheetData>
  <mergeCells count="5">
    <mergeCell ref="B3:G3"/>
    <mergeCell ref="B2:G2"/>
    <mergeCell ref="B28:G28"/>
    <mergeCell ref="B17:D17"/>
    <mergeCell ref="B4:G4"/>
  </mergeCells>
  <printOptions horizontalCentered="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2026-06-15T00:13:19Z</dcterms:created>
  <dcterms:modified xmlns:dcterms="http://purl.org/dc/terms/" xmlns:xsi="http://www.w3.org/2001/XMLSchema-instance" xsi:type="dcterms:W3CDTF">2026-06-15T00:13:19Z</dcterms:modified>
</cp:coreProperties>
</file>