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  <sheet xmlns:r="http://schemas.openxmlformats.org/officeDocument/2006/relationships" name="Wallet share" sheetId="2" state="visible" r:id="rId2"/>
    <sheet xmlns:r="http://schemas.openxmlformats.org/officeDocument/2006/relationships" name="Credit facilities" sheetId="3" state="visible" r:id="rId3"/>
    <sheet xmlns:r="http://schemas.openxmlformats.org/officeDocument/2006/relationships" name="Annual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8">
    <font>
      <name val="Calibri"/>
      <family val="2"/>
      <color theme="1"/>
      <sz val="11"/>
      <scheme val="minor"/>
    </font>
    <font>
      <name val="Geist"/>
      <b val="1"/>
      <color rgb="FF0C0F0D"/>
      <sz val="15"/>
    </font>
    <font>
      <name val="Geist"/>
      <color rgb="FF5B6660"/>
      <sz val="9"/>
    </font>
    <font>
      <name val="Geist"/>
      <b val="1"/>
      <color rgb="FF0C0F0D"/>
      <sz val="10"/>
    </font>
    <font>
      <name val="Geist"/>
      <color rgb="FF0C0F0D"/>
      <sz val="10"/>
    </font>
    <font>
      <name val="Geist Mono"/>
      <color rgb="FF0C0F0D"/>
      <sz val="10"/>
    </font>
    <font>
      <name val="Geist"/>
      <b val="1"/>
      <color rgb="FF149157"/>
      <sz val="10"/>
    </font>
    <font>
      <name val="Geist"/>
      <b val="1"/>
      <color rgb="FF8A5A08"/>
      <sz val="10"/>
    </font>
  </fonts>
  <fills count="5">
    <fill>
      <patternFill/>
    </fill>
    <fill>
      <patternFill patternType="gray125"/>
    </fill>
    <fill>
      <patternFill patternType="solid">
        <fgColor rgb="FFE3F4EA"/>
      </patternFill>
    </fill>
    <fill>
      <patternFill patternType="solid">
        <fgColor rgb="FFF4FAF6"/>
      </patternFill>
    </fill>
    <fill>
      <patternFill patternType="solid">
        <fgColor rgb="FFDFF6E9"/>
      </patternFill>
    </fill>
  </fills>
  <borders count="4">
    <border>
      <left/>
      <right/>
      <top/>
      <bottom/>
      <diagonal/>
    </border>
    <border>
      <bottom style="medium">
        <color rgb="FF149157"/>
      </bottom>
    </border>
    <border>
      <bottom style="thin">
        <color rgb="FFE6EFE9"/>
      </bottom>
    </border>
    <border>
      <top style="thin">
        <color rgb="FF0C0F0D"/>
      </top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2" pivotButton="0" quotePrefix="0" xfId="0"/>
    <xf numFmtId="0" fontId="4" fillId="0" borderId="2" applyAlignment="1" pivotButton="0" quotePrefix="0" xfId="0">
      <alignment horizontal="center"/>
    </xf>
    <xf numFmtId="3" fontId="4" fillId="0" borderId="2" applyAlignment="1" pivotButton="0" quotePrefix="0" xfId="0">
      <alignment horizontal="right"/>
    </xf>
    <xf numFmtId="0" fontId="4" fillId="3" borderId="2" pivotButton="0" quotePrefix="0" xfId="0"/>
    <xf numFmtId="0" fontId="4" fillId="3" borderId="2" applyAlignment="1" pivotButton="0" quotePrefix="0" xfId="0">
      <alignment horizontal="center"/>
    </xf>
    <xf numFmtId="3" fontId="4" fillId="3" borderId="2" applyAlignment="1" pivotButton="0" quotePrefix="0" xfId="0">
      <alignment horizontal="right"/>
    </xf>
    <xf numFmtId="0" fontId="3" fillId="4" borderId="3" pivotButton="0" quotePrefix="0" xfId="0"/>
    <xf numFmtId="3" fontId="3" fillId="4" borderId="3" applyAlignment="1" pivotButton="0" quotePrefix="0" xfId="0">
      <alignment horizontal="right"/>
    </xf>
    <xf numFmtId="164" fontId="4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4" fontId="4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0" fontId="5" fillId="0" borderId="2" pivotButton="0" quotePrefix="0" xfId="0"/>
    <xf numFmtId="0" fontId="5" fillId="3" borderId="2" pivotButton="0" quotePrefix="0" xfId="0"/>
    <xf numFmtId="0" fontId="0" fillId="4" borderId="3" pivotButton="0" quotePrefix="0" xfId="0"/>
    <xf numFmtId="0" fontId="6" fillId="0" borderId="2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0" customWidth="1" min="4" max="4"/>
    <col width="16" customWidth="1" min="5" max="5"/>
    <col width="18" customWidth="1" min="6" max="6"/>
    <col width="16" customWidth="1" min="7" max="7"/>
    <col width="18" customWidth="1" min="8" max="8"/>
    <col width="30" customWidth="1" min="9" max="9"/>
  </cols>
  <sheetData>
    <row r="1" ht="22" customHeight="1">
      <c r="A1" s="1" t="inlineStr">
        <is>
          <t>Bank Relationships</t>
        </is>
      </c>
    </row>
    <row r="2">
      <c r="A2" s="2" t="inlineStr">
        <is>
          <t>Cobalt Treasury · relationship &amp; service map · as of 2026-06-13</t>
        </is>
      </c>
    </row>
    <row r="4">
      <c r="A4" s="3" t="inlineStr">
        <is>
          <t>Bank</t>
        </is>
      </c>
      <c r="B4" s="3" t="inlineStr">
        <is>
          <t>Lead / role</t>
        </is>
      </c>
      <c r="C4" s="3" t="inlineStr">
        <is>
          <t>Relationship since</t>
        </is>
      </c>
      <c r="D4" s="3" t="inlineStr">
        <is>
          <t>Services used</t>
        </is>
      </c>
      <c r="E4" s="3" t="inlineStr">
        <is>
          <t>Annual fees (USD)</t>
        </is>
      </c>
      <c r="F4" s="3" t="inlineStr">
        <is>
          <t>Credit committed (USD)</t>
        </is>
      </c>
      <c r="G4" s="3" t="inlineStr">
        <is>
          <t>Credit drawn (USD)</t>
        </is>
      </c>
      <c r="H4" s="3" t="inlineStr">
        <is>
          <t>RM name</t>
        </is>
      </c>
      <c r="I4" s="3" t="inlineStr">
        <is>
          <t>RM contact</t>
        </is>
      </c>
    </row>
    <row r="5">
      <c r="A5" s="4" t="inlineStr">
        <is>
          <t>JPMorgan</t>
        </is>
      </c>
      <c r="B5" s="4" t="inlineStr">
        <is>
          <t>Lead bank</t>
        </is>
      </c>
      <c r="C5" s="5" t="n">
        <v>2019</v>
      </c>
      <c r="D5" s="4" t="inlineStr">
        <is>
          <t>Cash mgmt, FX, lending, MMF, trade finance</t>
        </is>
      </c>
      <c r="E5" s="6" t="n">
        <v>1200000</v>
      </c>
      <c r="F5" s="6" t="n">
        <v>450000000</v>
      </c>
      <c r="G5" s="6" t="n">
        <v>300000000</v>
      </c>
      <c r="H5" s="4" t="inlineStr">
        <is>
          <t>Sarah Whitfield</t>
        </is>
      </c>
      <c r="I5" s="4" t="inlineStr">
        <is>
          <t>s.whitfield@jpmorgan.com</t>
        </is>
      </c>
    </row>
    <row r="6">
      <c r="A6" s="7" t="inlineStr">
        <is>
          <t>Citibank</t>
        </is>
      </c>
      <c r="B6" s="7" t="inlineStr">
        <is>
          <t>EU / LatAm cash</t>
        </is>
      </c>
      <c r="C6" s="8" t="n">
        <v>2020</v>
      </c>
      <c r="D6" s="7" t="inlineStr">
        <is>
          <t>Cash mgmt, FX, MMF</t>
        </is>
      </c>
      <c r="E6" s="9" t="n">
        <v>640000</v>
      </c>
      <c r="F6" s="9" t="n">
        <v>150000000</v>
      </c>
      <c r="G6" s="9" t="n">
        <v>0</v>
      </c>
      <c r="H6" s="7" t="inlineStr">
        <is>
          <t>Marco Bellini</t>
        </is>
      </c>
      <c r="I6" s="7" t="inlineStr">
        <is>
          <t>marco.bellini@citi.com</t>
        </is>
      </c>
    </row>
    <row r="7">
      <c r="A7" s="4" t="inlineStr">
        <is>
          <t>HSBC</t>
        </is>
      </c>
      <c r="B7" s="4" t="inlineStr">
        <is>
          <t>UK / APAC</t>
        </is>
      </c>
      <c r="C7" s="5" t="n">
        <v>2018</v>
      </c>
      <c r="D7" s="4" t="inlineStr">
        <is>
          <t>Cash mgmt, trade finance, pooling</t>
        </is>
      </c>
      <c r="E7" s="6" t="n">
        <v>520000</v>
      </c>
      <c r="F7" s="6" t="n">
        <v>100000000</v>
      </c>
      <c r="G7" s="6" t="n">
        <v>40000000</v>
      </c>
      <c r="H7" s="4" t="inlineStr">
        <is>
          <t>Daniel Ng</t>
        </is>
      </c>
      <c r="I7" s="4" t="inlineStr">
        <is>
          <t>daniel.ng@hsbc.com</t>
        </is>
      </c>
    </row>
    <row r="8">
      <c r="A8" s="7" t="inlineStr">
        <is>
          <t>BNP Paribas</t>
        </is>
      </c>
      <c r="B8" s="7" t="inlineStr">
        <is>
          <t>FX / pooling</t>
        </is>
      </c>
      <c r="C8" s="8" t="n">
        <v>2021</v>
      </c>
      <c r="D8" s="7" t="inlineStr">
        <is>
          <t>FX, cash pooling, repo</t>
        </is>
      </c>
      <c r="E8" s="9" t="n">
        <v>410000</v>
      </c>
      <c r="F8" s="9" t="n">
        <v>75000000</v>
      </c>
      <c r="G8" s="9" t="n">
        <v>0</v>
      </c>
      <c r="H8" s="7" t="inlineStr">
        <is>
          <t>Camille Laurent</t>
        </is>
      </c>
      <c r="I8" s="7" t="inlineStr">
        <is>
          <t>camille.laurent@bnpparibas.com</t>
        </is>
      </c>
    </row>
    <row r="9">
      <c r="A9" s="4" t="inlineStr">
        <is>
          <t>Standard Chartered</t>
        </is>
      </c>
      <c r="B9" s="4" t="inlineStr">
        <is>
          <t>India / Singapore</t>
        </is>
      </c>
      <c r="C9" s="5" t="n">
        <v>2022</v>
      </c>
      <c r="D9" s="4" t="inlineStr">
        <is>
          <t>Cash mgmt, FX, trade finance</t>
        </is>
      </c>
      <c r="E9" s="6" t="n">
        <v>280000</v>
      </c>
      <c r="F9" s="6" t="n">
        <v>60000000</v>
      </c>
      <c r="G9" s="6" t="n">
        <v>15000000</v>
      </c>
      <c r="H9" s="4" t="inlineStr">
        <is>
          <t>Anil Mehta</t>
        </is>
      </c>
      <c r="I9" s="4" t="inlineStr">
        <is>
          <t>anil.mehta@sc.com</t>
        </is>
      </c>
    </row>
    <row r="10">
      <c r="A10" s="7" t="inlineStr">
        <is>
          <t>Brex Treasury</t>
        </is>
      </c>
      <c r="B10" s="7" t="inlineStr">
        <is>
          <t>Govt MMF sweep</t>
        </is>
      </c>
      <c r="C10" s="8" t="n">
        <v>2023</v>
      </c>
      <c r="D10" s="7" t="inlineStr">
        <is>
          <t>Government MMF</t>
        </is>
      </c>
      <c r="E10" s="9" t="n">
        <v>0</v>
      </c>
      <c r="F10" s="9" t="n">
        <v>0</v>
      </c>
      <c r="G10" s="9" t="n">
        <v>0</v>
      </c>
      <c r="H10" s="7" t="inlineStr">
        <is>
          <t>Treasury Desk</t>
        </is>
      </c>
      <c r="I10" s="7" t="inlineStr">
        <is>
          <t>treasury@brex.com</t>
        </is>
      </c>
    </row>
    <row r="11">
      <c r="A11" s="10" t="inlineStr">
        <is>
          <t>Total</t>
        </is>
      </c>
      <c r="E11" s="11">
        <f>SUM(E5:E10)</f>
        <v/>
      </c>
      <c r="F11" s="11">
        <f>SUM(F5:F10)</f>
        <v/>
      </c>
      <c r="G11" s="11">
        <f>SUM(G5:G10)</f>
        <v/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2" customWidth="1" min="4" max="4"/>
    <col width="14" customWidth="1" min="5" max="5"/>
    <col width="16" customWidth="1" min="6" max="6"/>
    <col width="16" customWidth="1" min="7" max="7"/>
  </cols>
  <sheetData>
    <row r="1" ht="22" customHeight="1">
      <c r="A1" s="1" t="inlineStr">
        <is>
          <t>Wallet Share &amp; Fairness</t>
        </is>
      </c>
    </row>
    <row r="2">
      <c r="A2" s="2" t="inlineStr">
        <is>
          <t>Treasury revenue allocated to each bank vs. credit provided · fairness ratio = revenue share ÷ credit share</t>
        </is>
      </c>
    </row>
    <row r="4">
      <c r="A4" s="3" t="inlineStr">
        <is>
          <t>Bank</t>
        </is>
      </c>
      <c r="B4" s="3" t="inlineStr">
        <is>
          <t>Treasury revenue (USD)</t>
        </is>
      </c>
      <c r="C4" s="3" t="inlineStr">
        <is>
          <t>Revenue share</t>
        </is>
      </c>
      <c r="D4" s="3" t="inlineStr">
        <is>
          <t>Credit committed (USD)</t>
        </is>
      </c>
      <c r="E4" s="3" t="inlineStr">
        <is>
          <t>Credit share</t>
        </is>
      </c>
      <c r="F4" s="3" t="inlineStr">
        <is>
          <t>Fairness ratio</t>
        </is>
      </c>
      <c r="G4" s="3" t="inlineStr">
        <is>
          <t>Assessment</t>
        </is>
      </c>
    </row>
    <row r="5">
      <c r="A5" s="4" t="inlineStr">
        <is>
          <t>JPMorgan</t>
        </is>
      </c>
      <c r="B5" s="6" t="n">
        <v>1820000</v>
      </c>
      <c r="C5" s="12">
        <f>B5/SUM($B$5:$B$10)</f>
        <v/>
      </c>
      <c r="D5" s="6" t="n">
        <v>450000000</v>
      </c>
      <c r="E5" s="12">
        <f>D5/SUM($D$5:$D$10)</f>
        <v/>
      </c>
      <c r="F5" s="13">
        <f>IF(E5=0,"—",C5/E5)</f>
        <v/>
      </c>
      <c r="G5" s="4">
        <f>IF(E5=0,"Fee-only",IF(C5/E5&gt;1.15,"Over-earning",IF(C5/E5&lt;0.85,"Under-earning","Balanced")))</f>
        <v/>
      </c>
    </row>
    <row r="6">
      <c r="A6" s="7" t="inlineStr">
        <is>
          <t>Citibank</t>
        </is>
      </c>
      <c r="B6" s="9" t="n">
        <v>940000</v>
      </c>
      <c r="C6" s="14">
        <f>B6/SUM($B$5:$B$10)</f>
        <v/>
      </c>
      <c r="D6" s="9" t="n">
        <v>150000000</v>
      </c>
      <c r="E6" s="14">
        <f>D6/SUM($D$5:$D$10)</f>
        <v/>
      </c>
      <c r="F6" s="15">
        <f>IF(E6=0,"—",C6/E6)</f>
        <v/>
      </c>
      <c r="G6" s="7">
        <f>IF(E6=0,"Fee-only",IF(C6/E6&gt;1.15,"Over-earning",IF(C6/E6&lt;0.85,"Under-earning","Balanced")))</f>
        <v/>
      </c>
    </row>
    <row r="7">
      <c r="A7" s="4" t="inlineStr">
        <is>
          <t>HSBC</t>
        </is>
      </c>
      <c r="B7" s="6" t="n">
        <v>760000</v>
      </c>
      <c r="C7" s="12">
        <f>B7/SUM($B$5:$B$10)</f>
        <v/>
      </c>
      <c r="D7" s="6" t="n">
        <v>100000000</v>
      </c>
      <c r="E7" s="12">
        <f>D7/SUM($D$5:$D$10)</f>
        <v/>
      </c>
      <c r="F7" s="13">
        <f>IF(E7=0,"—",C7/E7)</f>
        <v/>
      </c>
      <c r="G7" s="4">
        <f>IF(E7=0,"Fee-only",IF(C7/E7&gt;1.15,"Over-earning",IF(C7/E7&lt;0.85,"Under-earning","Balanced")))</f>
        <v/>
      </c>
    </row>
    <row r="8">
      <c r="A8" s="7" t="inlineStr">
        <is>
          <t>BNP Paribas</t>
        </is>
      </c>
      <c r="B8" s="9" t="n">
        <v>560000</v>
      </c>
      <c r="C8" s="14">
        <f>B8/SUM($B$5:$B$10)</f>
        <v/>
      </c>
      <c r="D8" s="9" t="n">
        <v>75000000</v>
      </c>
      <c r="E8" s="14">
        <f>D8/SUM($D$5:$D$10)</f>
        <v/>
      </c>
      <c r="F8" s="15">
        <f>IF(E8=0,"—",C8/E8)</f>
        <v/>
      </c>
      <c r="G8" s="7">
        <f>IF(E8=0,"Fee-only",IF(C8/E8&gt;1.15,"Over-earning",IF(C8/E8&lt;0.85,"Under-earning","Balanced")))</f>
        <v/>
      </c>
    </row>
    <row r="9">
      <c r="A9" s="4" t="inlineStr">
        <is>
          <t>Standard Chartered</t>
        </is>
      </c>
      <c r="B9" s="6" t="n">
        <v>420000</v>
      </c>
      <c r="C9" s="12">
        <f>B9/SUM($B$5:$B$10)</f>
        <v/>
      </c>
      <c r="D9" s="6" t="n">
        <v>60000000</v>
      </c>
      <c r="E9" s="12">
        <f>D9/SUM($D$5:$D$10)</f>
        <v/>
      </c>
      <c r="F9" s="13">
        <f>IF(E9=0,"—",C9/E9)</f>
        <v/>
      </c>
      <c r="G9" s="4">
        <f>IF(E9=0,"Fee-only",IF(C9/E9&gt;1.15,"Over-earning",IF(C9/E9&lt;0.85,"Under-earning","Balanced")))</f>
        <v/>
      </c>
    </row>
    <row r="10">
      <c r="A10" s="7" t="inlineStr">
        <is>
          <t>Brex Treasury</t>
        </is>
      </c>
      <c r="B10" s="9" t="n">
        <v>110000</v>
      </c>
      <c r="C10" s="14">
        <f>B10/SUM($B$5:$B$10)</f>
        <v/>
      </c>
      <c r="D10" s="9" t="n">
        <v>0</v>
      </c>
      <c r="E10" s="14">
        <f>D10/SUM($D$5:$D$10)</f>
        <v/>
      </c>
      <c r="F10" s="15">
        <f>IF(E10=0,"—",C10/E10)</f>
        <v/>
      </c>
      <c r="G10" s="7">
        <f>IF(E10=0,"Fee-only",IF(C10/E10&gt;1.15,"Over-earning",IF(C10/E10&lt;0.85,"Under-earning","Balanced")))</f>
        <v/>
      </c>
    </row>
    <row r="11">
      <c r="A11" s="10" t="inlineStr">
        <is>
          <t>Total</t>
        </is>
      </c>
      <c r="B11" s="11">
        <f>SUM(B5:B10)</f>
        <v/>
      </c>
      <c r="C11" s="16">
        <f>SUM(C5:C10)</f>
        <v/>
      </c>
      <c r="D11" s="11">
        <f>SUM(D5:D10)</f>
        <v/>
      </c>
      <c r="E11" s="16">
        <f>SUM(E5:E10)</f>
        <v/>
      </c>
      <c r="F11" s="10" t="n"/>
      <c r="G11" s="10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6" customWidth="1" min="4" max="4"/>
    <col width="16" customWidth="1" min="5" max="5"/>
    <col width="14" customWidth="1" min="6" max="6"/>
    <col width="12" customWidth="1" min="7" max="7"/>
    <col width="16" customWidth="1" min="8" max="8"/>
    <col width="22" customWidth="1" min="9" max="9"/>
  </cols>
  <sheetData>
    <row r="1" ht="22" customHeight="1">
      <c r="A1" s="1" t="inlineStr">
        <is>
          <t>Credit Facilities</t>
        </is>
      </c>
    </row>
    <row r="2">
      <c r="A2" s="2" t="inlineStr">
        <is>
          <t>Committed facilities, pricing &amp; covenants · leverage &lt;3.00x · min liquidity $250M</t>
        </is>
      </c>
    </row>
    <row r="4">
      <c r="A4" s="3" t="inlineStr">
        <is>
          <t>Facility</t>
        </is>
      </c>
      <c r="B4" s="3" t="inlineStr">
        <is>
          <t>Bank</t>
        </is>
      </c>
      <c r="C4" s="3" t="inlineStr">
        <is>
          <t>Limit (USD)</t>
        </is>
      </c>
      <c r="D4" s="3" t="inlineStr">
        <is>
          <t>Drawn (USD)</t>
        </is>
      </c>
      <c r="E4" s="3" t="inlineStr">
        <is>
          <t>Available (USD)</t>
        </is>
      </c>
      <c r="F4" s="3" t="inlineStr">
        <is>
          <t>Rate</t>
        </is>
      </c>
      <c r="G4" s="3" t="inlineStr">
        <is>
          <t>Maturity</t>
        </is>
      </c>
      <c r="H4" s="3" t="inlineStr">
        <is>
          <t>Covenant: leverage</t>
        </is>
      </c>
      <c r="I4" s="3" t="inlineStr">
        <is>
          <t>Covenant: min liquidity (USD)</t>
        </is>
      </c>
    </row>
    <row r="5">
      <c r="A5" s="4" t="inlineStr">
        <is>
          <t>Term Loan A</t>
        </is>
      </c>
      <c r="B5" s="4" t="inlineStr">
        <is>
          <t>JPMorgan</t>
        </is>
      </c>
      <c r="C5" s="6" t="n">
        <v>300000000</v>
      </c>
      <c r="D5" s="6" t="n">
        <v>300000000</v>
      </c>
      <c r="E5" s="6">
        <f>C5-D5</f>
        <v/>
      </c>
      <c r="F5" s="17" t="inlineStr">
        <is>
          <t>SOFR + 185</t>
        </is>
      </c>
      <c r="G5" s="5" t="inlineStr">
        <is>
          <t>2029-06-30</t>
        </is>
      </c>
      <c r="H5" s="5" t="inlineStr">
        <is>
          <t>&lt; 3.00x</t>
        </is>
      </c>
      <c r="I5" s="6" t="n">
        <v>250000000</v>
      </c>
    </row>
    <row r="6">
      <c r="A6" s="7" t="inlineStr">
        <is>
          <t>Revolving Credit Facility</t>
        </is>
      </c>
      <c r="B6" s="7" t="inlineStr">
        <is>
          <t>JPMorgan</t>
        </is>
      </c>
      <c r="C6" s="9" t="n">
        <v>150000000</v>
      </c>
      <c r="D6" s="9" t="n">
        <v>0</v>
      </c>
      <c r="E6" s="9">
        <f>C6-D6</f>
        <v/>
      </c>
      <c r="F6" s="18" t="inlineStr">
        <is>
          <t>SOFR + 160</t>
        </is>
      </c>
      <c r="G6" s="8" t="inlineStr">
        <is>
          <t>2028-06-30</t>
        </is>
      </c>
      <c r="H6" s="8" t="inlineStr">
        <is>
          <t>&lt; 3.00x</t>
        </is>
      </c>
      <c r="I6" s="9" t="n">
        <v>250000000</v>
      </c>
    </row>
    <row r="7">
      <c r="A7" s="4" t="inlineStr">
        <is>
          <t>Receivables facility</t>
        </is>
      </c>
      <c r="B7" s="4" t="inlineStr">
        <is>
          <t>Citibank</t>
        </is>
      </c>
      <c r="C7" s="6" t="n">
        <v>100000000</v>
      </c>
      <c r="D7" s="6" t="n">
        <v>0</v>
      </c>
      <c r="E7" s="6">
        <f>C7-D7</f>
        <v/>
      </c>
      <c r="F7" s="17" t="inlineStr">
        <is>
          <t>SOFR + 140</t>
        </is>
      </c>
      <c r="G7" s="5" t="inlineStr">
        <is>
          <t>2027-12-31</t>
        </is>
      </c>
      <c r="H7" s="5" t="inlineStr">
        <is>
          <t>&lt; 3.50x</t>
        </is>
      </c>
      <c r="I7" s="6" t="n">
        <v>200000000</v>
      </c>
    </row>
    <row r="8">
      <c r="A8" s="7" t="inlineStr">
        <is>
          <t>Trade finance line</t>
        </is>
      </c>
      <c r="B8" s="7" t="inlineStr">
        <is>
          <t>HSBC</t>
        </is>
      </c>
      <c r="C8" s="9" t="n">
        <v>60000000</v>
      </c>
      <c r="D8" s="9" t="n">
        <v>40000000</v>
      </c>
      <c r="E8" s="9">
        <f>C8-D8</f>
        <v/>
      </c>
      <c r="F8" s="18" t="inlineStr">
        <is>
          <t>SOFR + 175</t>
        </is>
      </c>
      <c r="G8" s="8" t="inlineStr">
        <is>
          <t>2027-06-30</t>
        </is>
      </c>
      <c r="H8" s="8" t="inlineStr">
        <is>
          <t>&lt; 3.50x</t>
        </is>
      </c>
      <c r="I8" s="9" t="n">
        <v>150000000</v>
      </c>
    </row>
    <row r="9">
      <c r="A9" s="4" t="inlineStr">
        <is>
          <t>FX settlement line</t>
        </is>
      </c>
      <c r="B9" s="4" t="inlineStr">
        <is>
          <t>BNP Paribas</t>
        </is>
      </c>
      <c r="C9" s="6" t="n">
        <v>40000000</v>
      </c>
      <c r="D9" s="6" t="n">
        <v>0</v>
      </c>
      <c r="E9" s="6">
        <f>C9-D9</f>
        <v/>
      </c>
      <c r="F9" s="17" t="inlineStr">
        <is>
          <t>Uncommitted</t>
        </is>
      </c>
      <c r="G9" s="5" t="inlineStr">
        <is>
          <t>2026-12-31</t>
        </is>
      </c>
      <c r="H9" s="5" t="inlineStr">
        <is>
          <t>—</t>
        </is>
      </c>
      <c r="I9" s="6" t="n">
        <v>0</v>
      </c>
    </row>
    <row r="10">
      <c r="A10" s="7" t="inlineStr">
        <is>
          <t>Working-capital line</t>
        </is>
      </c>
      <c r="B10" s="7" t="inlineStr">
        <is>
          <t>Standard Chartered</t>
        </is>
      </c>
      <c r="C10" s="9" t="n">
        <v>45000000</v>
      </c>
      <c r="D10" s="9" t="n">
        <v>15000000</v>
      </c>
      <c r="E10" s="9">
        <f>C10-D10</f>
        <v/>
      </c>
      <c r="F10" s="18" t="inlineStr">
        <is>
          <t>SOFR + 210</t>
        </is>
      </c>
      <c r="G10" s="8" t="inlineStr">
        <is>
          <t>2027-03-31</t>
        </is>
      </c>
      <c r="H10" s="8" t="inlineStr">
        <is>
          <t>&lt; 3.50x</t>
        </is>
      </c>
      <c r="I10" s="9" t="n">
        <v>100000000</v>
      </c>
    </row>
    <row r="11">
      <c r="A11" s="10" t="inlineStr">
        <is>
          <t>Total committed</t>
        </is>
      </c>
      <c r="B11" s="19" t="n"/>
      <c r="C11" s="11">
        <f>SUM(C5:C10)</f>
        <v/>
      </c>
      <c r="D11" s="11">
        <f>SUM(D5:D10)</f>
        <v/>
      </c>
      <c r="E11" s="11">
        <f>SUM(E5:E10)</f>
        <v/>
      </c>
      <c r="F11" s="19" t="n"/>
      <c r="G11" s="19" t="n"/>
      <c r="H11" s="19" t="n"/>
      <c r="I11" s="19" t="n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38" customWidth="1" min="3" max="3"/>
    <col width="18" customWidth="1" min="4" max="4"/>
    <col width="14" customWidth="1" min="5" max="5"/>
    <col width="14" customWidth="1" min="6" max="6"/>
  </cols>
  <sheetData>
    <row r="1" ht="22" customHeight="1">
      <c r="A1" s="1" t="inlineStr">
        <is>
          <t>Annual Relationship Review Schedule</t>
        </is>
      </c>
    </row>
    <row r="2">
      <c r="A2" s="2" t="inlineStr">
        <is>
          <t>Each bank reviewed annually · scope, owner, status</t>
        </is>
      </c>
    </row>
    <row r="4">
      <c r="A4" s="3" t="inlineStr">
        <is>
          <t>Bank</t>
        </is>
      </c>
      <c r="B4" s="3" t="inlineStr">
        <is>
          <t>Review month</t>
        </is>
      </c>
      <c r="C4" s="3" t="inlineStr">
        <is>
          <t>Scope</t>
        </is>
      </c>
      <c r="D4" s="3" t="inlineStr">
        <is>
          <t>Owner</t>
        </is>
      </c>
      <c r="E4" s="3" t="inlineStr">
        <is>
          <t>Last review</t>
        </is>
      </c>
      <c r="F4" s="3" t="inlineStr">
        <is>
          <t>Status</t>
        </is>
      </c>
    </row>
    <row r="5">
      <c r="A5" s="4" t="inlineStr">
        <is>
          <t>JPMorgan</t>
        </is>
      </c>
      <c r="B5" s="4" t="inlineStr">
        <is>
          <t>February</t>
        </is>
      </c>
      <c r="C5" s="4" t="inlineStr">
        <is>
          <t>Full relationship + facility pricing</t>
        </is>
      </c>
      <c r="D5" s="4" t="inlineStr">
        <is>
          <t>Maya Okonkwo</t>
        </is>
      </c>
      <c r="E5" s="4" t="inlineStr">
        <is>
          <t>2026-02-12</t>
        </is>
      </c>
      <c r="F5" s="20" t="inlineStr">
        <is>
          <t>Complete</t>
        </is>
      </c>
    </row>
    <row r="6">
      <c r="A6" s="7" t="inlineStr">
        <is>
          <t>Citibank</t>
        </is>
      </c>
      <c r="B6" s="7" t="inlineStr">
        <is>
          <t>April</t>
        </is>
      </c>
      <c r="C6" s="7" t="inlineStr">
        <is>
          <t>Cash mgmt + FX scorecard</t>
        </is>
      </c>
      <c r="D6" s="7" t="inlineStr">
        <is>
          <t>Priya Raman</t>
        </is>
      </c>
      <c r="E6" s="7" t="inlineStr">
        <is>
          <t>2026-04-08</t>
        </is>
      </c>
      <c r="F6" s="21" t="inlineStr">
        <is>
          <t>Complete</t>
        </is>
      </c>
    </row>
    <row r="7">
      <c r="A7" s="4" t="inlineStr">
        <is>
          <t>HSBC</t>
        </is>
      </c>
      <c r="B7" s="4" t="inlineStr">
        <is>
          <t>June</t>
        </is>
      </c>
      <c r="C7" s="4" t="inlineStr">
        <is>
          <t>Trade finance + pooling</t>
        </is>
      </c>
      <c r="D7" s="4" t="inlineStr">
        <is>
          <t>David Chen</t>
        </is>
      </c>
      <c r="E7" s="4" t="inlineStr">
        <is>
          <t>2026-06-10</t>
        </is>
      </c>
      <c r="F7" s="22" t="inlineStr">
        <is>
          <t>In progress</t>
        </is>
      </c>
    </row>
    <row r="8">
      <c r="A8" s="7" t="inlineStr">
        <is>
          <t>BNP Paribas</t>
        </is>
      </c>
      <c r="B8" s="7" t="inlineStr">
        <is>
          <t>September</t>
        </is>
      </c>
      <c r="C8" s="7" t="inlineStr">
        <is>
          <t>FX execution quality</t>
        </is>
      </c>
      <c r="D8" s="7" t="inlineStr">
        <is>
          <t>David Chen</t>
        </is>
      </c>
      <c r="E8" s="7" t="inlineStr">
        <is>
          <t>2025-09-15</t>
        </is>
      </c>
      <c r="F8" s="8" t="inlineStr">
        <is>
          <t>Scheduled</t>
        </is>
      </c>
    </row>
    <row r="9">
      <c r="A9" s="4" t="inlineStr">
        <is>
          <t>Standard Chartered</t>
        </is>
      </c>
      <c r="B9" s="4" t="inlineStr">
        <is>
          <t>October</t>
        </is>
      </c>
      <c r="C9" s="4" t="inlineStr">
        <is>
          <t>APAC cash + trapped-cash plan</t>
        </is>
      </c>
      <c r="D9" s="4" t="inlineStr">
        <is>
          <t>Priya Raman</t>
        </is>
      </c>
      <c r="E9" s="4" t="inlineStr">
        <is>
          <t>2025-10-20</t>
        </is>
      </c>
      <c r="F9" s="5" t="inlineStr">
        <is>
          <t>Scheduled</t>
        </is>
      </c>
    </row>
    <row r="10">
      <c r="A10" s="7" t="inlineStr">
        <is>
          <t>Brex Treasury</t>
        </is>
      </c>
      <c r="B10" s="7" t="inlineStr">
        <is>
          <t>November</t>
        </is>
      </c>
      <c r="C10" s="7" t="inlineStr">
        <is>
          <t>MMF yield benchmark</t>
        </is>
      </c>
      <c r="D10" s="7" t="inlineStr">
        <is>
          <t>Jordan Lee</t>
        </is>
      </c>
      <c r="E10" s="7" t="inlineStr">
        <is>
          <t>2025-11-12</t>
        </is>
      </c>
      <c r="F10" s="8" t="inlineStr">
        <is>
          <t>Scheduled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2026-06-15T00:17:18Z</dcterms:created>
  <dcterms:modified xmlns:dcterms="http://purl.org/dc/terms/" xmlns:xsi="http://www.w3.org/2001/XMLSchema-instance" xsi:type="dcterms:W3CDTF">2026-06-15T00:17:18Z</dcterms:modified>
</cp:coreProperties>
</file>